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Cohort Data" sheetId="1" state="visible" r:id="rId1"/>
    <sheet xmlns:r="http://schemas.openxmlformats.org/officeDocument/2006/relationships" name="Data Dictionary &amp;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b val="1"/>
      <color rgb="00065F46"/>
      <sz val="10"/>
    </font>
    <font>
      <name val="Calibri"/>
      <b val="1"/>
      <sz val="11"/>
    </font>
    <font>
      <name val="Calibri"/>
      <b val="1"/>
      <color rgb="001F2937"/>
      <sz val="11"/>
    </font>
    <font>
      <name val="Calibri"/>
      <b val="1"/>
      <color rgb="001F2937"/>
      <sz val="14"/>
    </font>
    <font>
      <name val="Calibri"/>
      <b val="1"/>
      <color rgb="00FFFFFF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E2E2"/>
        <bgColor rgb="00FEE2E2"/>
      </patternFill>
    </fill>
    <fill>
      <patternFill patternType="solid">
        <fgColor rgb="00F9FAFB"/>
        <bgColor rgb="00F9FAFB"/>
      </patternFill>
    </fill>
    <fill>
      <patternFill patternType="solid">
        <fgColor rgb="00D1FAE5"/>
        <bgColor rgb="00D1FAE5"/>
      </patternFill>
    </fill>
    <fill>
      <patternFill patternType="solid">
        <fgColor rgb="00FFFFFF"/>
        <bgColor rgb="00FFFFFF"/>
      </patternFill>
    </fill>
    <fill>
      <patternFill patternType="solid">
        <fgColor rgb="00E5E7EB"/>
        <bgColor rgb="00E5E7EB"/>
      </patternFill>
    </fill>
    <fill>
      <patternFill patternType="solid">
        <fgColor rgb="00374151"/>
        <bgColor rgb="00374151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double">
        <color rgb="001F2937"/>
      </top>
      <bottom style="double">
        <color rgb="001F293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1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5" fillId="7" borderId="2" pivotButton="0" quotePrefix="0" xfId="0"/>
    <xf numFmtId="10" fontId="5" fillId="7" borderId="2" pivotButton="0" quotePrefix="0" xfId="0"/>
    <xf numFmtId="164" fontId="5" fillId="7" borderId="2" pivotButton="0" quotePrefix="0" xfId="0"/>
    <xf numFmtId="0" fontId="6" fillId="0" borderId="0" pivotButton="0" quotePrefix="0" xfId="0"/>
    <xf numFmtId="0" fontId="7" fillId="8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32" customWidth="1" min="3" max="3"/>
    <col width="25" customWidth="1" min="4" max="4"/>
    <col width="21" customWidth="1" min="5" max="5"/>
    <col width="49" customWidth="1" min="6" max="6"/>
  </cols>
  <sheetData>
    <row r="1">
      <c r="A1" s="1" t="inlineStr">
        <is>
          <t>Cohort ID</t>
        </is>
      </c>
      <c r="B1" s="1" t="inlineStr">
        <is>
          <t>Control Conversion (Group A)</t>
        </is>
      </c>
      <c r="C1" s="1" t="inlineStr">
        <is>
          <t>Variant Conversion (Group B)</t>
        </is>
      </c>
      <c r="D1" s="1" t="inlineStr">
        <is>
          <t>Absolute Gain (% pts)</t>
        </is>
      </c>
      <c r="E1" s="1" t="inlineStr">
        <is>
          <t>Relative Lift (%)</t>
        </is>
      </c>
      <c r="F1" s="1" t="inlineStr">
        <is>
          <t>Variant Status</t>
        </is>
      </c>
    </row>
    <row r="2">
      <c r="A2" s="2" t="inlineStr">
        <is>
          <t>CH-001</t>
        </is>
      </c>
      <c r="B2" s="3" t="n">
        <v>0.1079342830602247</v>
      </c>
      <c r="C2" s="3" t="n">
        <v>0.0921925851589917</v>
      </c>
      <c r="D2" s="4">
        <f>C2-B2</f>
        <v/>
      </c>
      <c r="E2" s="4">
        <f>(C2-B2)/B2</f>
        <v/>
      </c>
      <c r="F2" s="5">
        <f>IF(D2&gt;0, "Outperformed", "Underperformed")</f>
        <v/>
      </c>
    </row>
    <row r="3">
      <c r="A3" s="6" t="inlineStr">
        <is>
          <t>CH-002</t>
        </is>
      </c>
      <c r="B3" s="7" t="n">
        <v>0.0952347139765763</v>
      </c>
      <c r="C3" s="7" t="n">
        <v>0.1120870935446928</v>
      </c>
      <c r="D3" s="8">
        <f>C3-B3</f>
        <v/>
      </c>
      <c r="E3" s="8">
        <f>(C3-B3)/B3</f>
        <v/>
      </c>
      <c r="F3" s="9">
        <f>IF(D3&gt;0, "Outperformed", "Underperformed")</f>
        <v/>
      </c>
    </row>
    <row r="4">
      <c r="A4" s="2" t="inlineStr">
        <is>
          <t>CH-003</t>
        </is>
      </c>
      <c r="B4" s="3" t="n">
        <v>0.1109537707620138</v>
      </c>
      <c r="C4" s="3" t="n">
        <v>0.1136457096694646</v>
      </c>
      <c r="D4" s="4">
        <f>C4-B4</f>
        <v/>
      </c>
      <c r="E4" s="4">
        <f>(C4-B4)/B4</f>
        <v/>
      </c>
      <c r="F4" s="9">
        <f>IF(D4&gt;0, "Outperformed", "Underperformed")</f>
        <v/>
      </c>
    </row>
    <row r="5">
      <c r="A5" s="6" t="inlineStr">
        <is>
          <t>CH-004</t>
        </is>
      </c>
      <c r="B5" s="7" t="n">
        <v>0.1284605971281605</v>
      </c>
      <c r="C5" s="7" t="n">
        <v>0.1044544546155676</v>
      </c>
      <c r="D5" s="8">
        <f>C5-B5</f>
        <v/>
      </c>
      <c r="E5" s="8">
        <f>(C5-B5)/B5</f>
        <v/>
      </c>
      <c r="F5" s="5">
        <f>IF(D5&gt;0, "Outperformed", "Underperformed")</f>
        <v/>
      </c>
    </row>
    <row r="6">
      <c r="A6" s="2" t="inlineStr">
        <is>
          <t>CH-005</t>
        </is>
      </c>
      <c r="B6" s="3" t="n">
        <v>0.09331693250553329</v>
      </c>
      <c r="C6" s="3" t="n">
        <v>0.1172742857666798</v>
      </c>
      <c r="D6" s="4">
        <f>C6-B6</f>
        <v/>
      </c>
      <c r="E6" s="4">
        <f>(C6-B6)/B6</f>
        <v/>
      </c>
      <c r="F6" s="9">
        <f>IF(D6&gt;0, "Outperformed", "Underperformed")</f>
        <v/>
      </c>
    </row>
    <row r="7">
      <c r="A7" s="6" t="inlineStr">
        <is>
          <t>CH-006</t>
        </is>
      </c>
      <c r="B7" s="7" t="n">
        <v>0.0933172608610164</v>
      </c>
      <c r="C7" s="7" t="n">
        <v>0.1285810171362908</v>
      </c>
      <c r="D7" s="8">
        <f>C7-B7</f>
        <v/>
      </c>
      <c r="E7" s="8">
        <f>(C7-B7)/B7</f>
        <v/>
      </c>
      <c r="F7" s="9">
        <f>IF(D7&gt;0, "Outperformed", "Underperformed")</f>
        <v/>
      </c>
    </row>
    <row r="8">
      <c r="A8" s="2" t="inlineStr">
        <is>
          <t>CH-007</t>
        </is>
      </c>
      <c r="B8" s="3" t="n">
        <v>0.1295842563101478</v>
      </c>
      <c r="C8" s="3" t="n">
        <v>0.1582237180242106</v>
      </c>
      <c r="D8" s="4">
        <f>C8-B8</f>
        <v/>
      </c>
      <c r="E8" s="4">
        <f>(C8-B8)/B8</f>
        <v/>
      </c>
      <c r="F8" s="9">
        <f>IF(D8&gt;0, "Outperformed", "Underperformed")</f>
        <v/>
      </c>
    </row>
    <row r="9">
      <c r="A9" s="6" t="inlineStr">
        <is>
          <t>CH-008</t>
        </is>
      </c>
      <c r="B9" s="7" t="n">
        <v>0.1133486945830582</v>
      </c>
      <c r="C9" s="7" t="n">
        <v>0.1239915562566368</v>
      </c>
      <c r="D9" s="8">
        <f>C9-B9</f>
        <v/>
      </c>
      <c r="E9" s="8">
        <f>(C9-B9)/B9</f>
        <v/>
      </c>
      <c r="F9" s="9">
        <f>IF(D9&gt;0, "Outperformed", "Underperformed")</f>
        <v/>
      </c>
    </row>
    <row r="10">
      <c r="A10" s="2" t="inlineStr">
        <is>
          <t>CH-009</t>
        </is>
      </c>
      <c r="B10" s="3" t="n">
        <v>0.08861051228130096</v>
      </c>
      <c r="C10" s="3" t="n">
        <v>0.1256510078144553</v>
      </c>
      <c r="D10" s="4">
        <f>C10-B10</f>
        <v/>
      </c>
      <c r="E10" s="4">
        <f>(C10-B10)/B10</f>
        <v/>
      </c>
      <c r="F10" s="9">
        <f>IF(D10&gt;0, "Outperformed", "Underperformed")</f>
        <v/>
      </c>
    </row>
    <row r="11">
      <c r="A11" s="6" t="inlineStr">
        <is>
          <t>CH-010</t>
        </is>
      </c>
      <c r="B11" s="7" t="n">
        <v>0.1088512008717193</v>
      </c>
      <c r="C11" s="7" t="n">
        <v>0.1190110816846767</v>
      </c>
      <c r="D11" s="8">
        <f>C11-B11</f>
        <v/>
      </c>
      <c r="E11" s="8">
        <f>(C11-B11)/B11</f>
        <v/>
      </c>
      <c r="F11" s="9">
        <f>IF(D11&gt;0, "Outperformed", "Underperformed")</f>
        <v/>
      </c>
    </row>
    <row r="12">
      <c r="A12" s="2" t="inlineStr">
        <is>
          <t>CH-011</t>
        </is>
      </c>
      <c r="B12" s="3" t="n">
        <v>0.08873164614375076</v>
      </c>
      <c r="C12" s="3" t="n">
        <v>0.08212457569401917</v>
      </c>
      <c r="D12" s="4">
        <f>C12-B12</f>
        <v/>
      </c>
      <c r="E12" s="4">
        <f>(C12-B12)/B12</f>
        <v/>
      </c>
      <c r="F12" s="5">
        <f>IF(D12&gt;0, "Outperformed", "Underperformed")</f>
        <v/>
      </c>
    </row>
    <row r="13">
      <c r="A13" s="6" t="inlineStr">
        <is>
          <t>CH-012</t>
        </is>
      </c>
      <c r="B13" s="7" t="n">
        <v>0.08868540492859486</v>
      </c>
      <c r="C13" s="7" t="n">
        <v>0.1199697224910157</v>
      </c>
      <c r="D13" s="8">
        <f>C13-B13</f>
        <v/>
      </c>
      <c r="E13" s="8">
        <f>(C13-B13)/B13</f>
        <v/>
      </c>
      <c r="F13" s="9">
        <f>IF(D13&gt;0, "Outperformed", "Underperformed")</f>
        <v/>
      </c>
    </row>
    <row r="14">
      <c r="A14" s="2" t="inlineStr">
        <is>
          <t>CH-013</t>
        </is>
      </c>
      <c r="B14" s="3" t="n">
        <v>0.1028392454313207</v>
      </c>
      <c r="C14" s="3" t="n">
        <v>0.1217046041988205</v>
      </c>
      <c r="D14" s="4">
        <f>C14-B14</f>
        <v/>
      </c>
      <c r="E14" s="4">
        <f>(C14-B14)/B14</f>
        <v/>
      </c>
      <c r="F14" s="9">
        <f>IF(D14&gt;0, "Outperformed", "Underperformed")</f>
        <v/>
      </c>
    </row>
    <row r="15">
      <c r="A15" s="6" t="inlineStr">
        <is>
          <t>CH-014</t>
        </is>
      </c>
      <c r="B15" s="7" t="n">
        <v>0.05973439510684404</v>
      </c>
      <c r="C15" s="7" t="n">
        <v>0.1697648422497057</v>
      </c>
      <c r="D15" s="8">
        <f>C15-B15</f>
        <v/>
      </c>
      <c r="E15" s="8">
        <f>(C15-B15)/B15</f>
        <v/>
      </c>
      <c r="F15" s="9">
        <f>IF(D15&gt;0, "Outperformed", "Underperformed")</f>
        <v/>
      </c>
    </row>
    <row r="16">
      <c r="A16" s="2" t="inlineStr">
        <is>
          <t>CH-015</t>
        </is>
      </c>
      <c r="B16" s="3" t="n">
        <v>0.06350164334973935</v>
      </c>
      <c r="C16" s="3" t="n">
        <v>0.1166527807043775</v>
      </c>
      <c r="D16" s="4">
        <f>C16-B16</f>
        <v/>
      </c>
      <c r="E16" s="4">
        <f>(C16-B16)/B16</f>
        <v/>
      </c>
      <c r="F16" s="9">
        <f>IF(D16&gt;0, "Outperformed", "Underperformed")</f>
        <v/>
      </c>
    </row>
    <row r="17">
      <c r="A17" s="6" t="inlineStr">
        <is>
          <t>CH-016</t>
        </is>
      </c>
      <c r="B17" s="7" t="n">
        <v>0.08675424941518055</v>
      </c>
      <c r="C17" s="7" t="n">
        <v>0.1265309468466722</v>
      </c>
      <c r="D17" s="8">
        <f>C17-B17</f>
        <v/>
      </c>
      <c r="E17" s="8">
        <f>(C17-B17)/B17</f>
        <v/>
      </c>
      <c r="F17" s="9">
        <f>IF(D17&gt;0, "Outperformed", "Underperformed")</f>
        <v/>
      </c>
    </row>
    <row r="18">
      <c r="A18" s="2" t="inlineStr">
        <is>
          <t>CH-017</t>
        </is>
      </c>
      <c r="B18" s="3" t="n">
        <v>0.07774337759331153</v>
      </c>
      <c r="C18" s="3" t="n">
        <v>0.1198057646058951</v>
      </c>
      <c r="D18" s="4">
        <f>C18-B18</f>
        <v/>
      </c>
      <c r="E18" s="4">
        <f>(C18-B18)/B18</f>
        <v/>
      </c>
      <c r="F18" s="9">
        <f>IF(D18&gt;0, "Outperformed", "Underperformed")</f>
        <v/>
      </c>
    </row>
    <row r="19">
      <c r="A19" s="6" t="inlineStr">
        <is>
          <t>CH-018</t>
        </is>
      </c>
      <c r="B19" s="7" t="n">
        <v>0.1042849466519055</v>
      </c>
      <c r="C19" s="7" t="n">
        <v>0.09712643924760936</v>
      </c>
      <c r="D19" s="8">
        <f>C19-B19</f>
        <v/>
      </c>
      <c r="E19" s="8">
        <f>(C19-B19)/B19</f>
        <v/>
      </c>
      <c r="F19" s="5">
        <f>IF(D19&gt;0, "Outperformed", "Underperformed")</f>
        <v/>
      </c>
    </row>
    <row r="20">
      <c r="A20" s="2" t="inlineStr">
        <is>
          <t>CH-019</t>
        </is>
      </c>
      <c r="B20" s="3" t="n">
        <v>0.07983951848957578</v>
      </c>
      <c r="C20" s="3" t="n">
        <v>0.1433564562903004</v>
      </c>
      <c r="D20" s="4">
        <f>C20-B20</f>
        <v/>
      </c>
      <c r="E20" s="4">
        <f>(C20-B20)/B20</f>
        <v/>
      </c>
      <c r="F20" s="9">
        <f>IF(D20&gt;0, "Outperformed", "Underperformed")</f>
        <v/>
      </c>
    </row>
    <row r="21">
      <c r="A21" s="6" t="inlineStr">
        <is>
          <t>CH-020</t>
        </is>
      </c>
      <c r="B21" s="7" t="n">
        <v>0.06975392597329418</v>
      </c>
      <c r="C21" s="7" t="n">
        <v>0.1355386606537355</v>
      </c>
      <c r="D21" s="8">
        <f>C21-B21</f>
        <v/>
      </c>
      <c r="E21" s="8">
        <f>(C21-B21)/B21</f>
        <v/>
      </c>
      <c r="F21" s="9">
        <f>IF(D21&gt;0, "Outperformed", "Underperformed")</f>
        <v/>
      </c>
    </row>
    <row r="22">
      <c r="A22" s="2" t="inlineStr">
        <is>
          <t>CH-021</t>
        </is>
      </c>
      <c r="B22" s="3" t="n">
        <v>0.1273129753784311</v>
      </c>
      <c r="C22" s="3" t="n">
        <v>0.1363206389408609</v>
      </c>
      <c r="D22" s="4">
        <f>C22-B22</f>
        <v/>
      </c>
      <c r="E22" s="4">
        <f>(C22-B22)/B22</f>
        <v/>
      </c>
      <c r="F22" s="9">
        <f>IF(D22&gt;0, "Outperformed", "Underperformed")</f>
        <v/>
      </c>
    </row>
    <row r="23">
      <c r="A23" s="6" t="inlineStr">
        <is>
          <t>CH-022</t>
        </is>
      </c>
      <c r="B23" s="7" t="n">
        <v>0.0934844739902693</v>
      </c>
      <c r="C23" s="7" t="n">
        <v>0.1023122509041052</v>
      </c>
      <c r="D23" s="8">
        <f>C23-B23</f>
        <v/>
      </c>
      <c r="E23" s="8">
        <f>(C23-B23)/B23</f>
        <v/>
      </c>
      <c r="F23" s="9">
        <f>IF(D23&gt;0, "Outperformed", "Underperformed")</f>
        <v/>
      </c>
    </row>
    <row r="24">
      <c r="A24" s="2" t="inlineStr">
        <is>
          <t>CH-023</t>
        </is>
      </c>
      <c r="B24" s="3" t="n">
        <v>0.09935056409375848</v>
      </c>
      <c r="C24" s="3" t="n">
        <v>0.148555886218722</v>
      </c>
      <c r="D24" s="4">
        <f>C24-B24</f>
        <v/>
      </c>
      <c r="E24" s="4">
        <f>(C24-B24)/B24</f>
        <v/>
      </c>
      <c r="F24" s="9">
        <f>IF(D24&gt;0, "Outperformed", "Underperformed")</f>
        <v/>
      </c>
    </row>
    <row r="25">
      <c r="A25" s="6" t="inlineStr">
        <is>
          <t>CH-024</t>
        </is>
      </c>
      <c r="B25" s="7" t="n">
        <v>0.06950503627573087</v>
      </c>
      <c r="C25" s="7" t="n">
        <v>0.09246297874415438</v>
      </c>
      <c r="D25" s="8">
        <f>C25-B25</f>
        <v/>
      </c>
      <c r="E25" s="8">
        <f>(C25-B25)/B25</f>
        <v/>
      </c>
      <c r="F25" s="9">
        <f>IF(D25&gt;0, "Outperformed", "Underperformed")</f>
        <v/>
      </c>
    </row>
    <row r="26">
      <c r="A26" s="2" t="inlineStr">
        <is>
          <t>CH-025</t>
        </is>
      </c>
      <c r="B26" s="3" t="n">
        <v>0.08711234550949636</v>
      </c>
      <c r="C26" s="3" t="n">
        <v>0.1322371418760054</v>
      </c>
      <c r="D26" s="4">
        <f>C26-B26</f>
        <v/>
      </c>
      <c r="E26" s="4">
        <f>(C26-B26)/B26</f>
        <v/>
      </c>
      <c r="F26" s="9">
        <f>IF(D26&gt;0, "Outperformed", "Underperformed")</f>
        <v/>
      </c>
    </row>
    <row r="27">
      <c r="A27" s="6" t="inlineStr">
        <is>
          <t>CH-026</t>
        </is>
      </c>
      <c r="B27" s="7" t="n">
        <v>0.1002184517941973</v>
      </c>
      <c r="C27" s="7" t="n">
        <v>0.1643091125161996</v>
      </c>
      <c r="D27" s="8">
        <f>C27-B27</f>
        <v/>
      </c>
      <c r="E27" s="8">
        <f>(C27-B27)/B27</f>
        <v/>
      </c>
      <c r="F27" s="9">
        <f>IF(D27&gt;0, "Outperformed", "Underperformed")</f>
        <v/>
      </c>
    </row>
    <row r="28">
      <c r="A28" s="2" t="inlineStr">
        <is>
          <t>CH-027</t>
        </is>
      </c>
      <c r="B28" s="3" t="n">
        <v>0.07498012845155394</v>
      </c>
      <c r="C28" s="3" t="n">
        <v>0.1006892734973862</v>
      </c>
      <c r="D28" s="4">
        <f>C28-B28</f>
        <v/>
      </c>
      <c r="E28" s="4">
        <f>(C28-B28)/B28</f>
        <v/>
      </c>
      <c r="F28" s="9">
        <f>IF(D28&gt;0, "Outperformed", "Underperformed")</f>
        <v/>
      </c>
    </row>
    <row r="29">
      <c r="A29" s="6" t="inlineStr">
        <is>
          <t>CH-028</t>
        </is>
      </c>
      <c r="B29" s="7" t="n">
        <v>0.1055139603669134</v>
      </c>
      <c r="C29" s="7" t="n">
        <v>0.1091740454079446</v>
      </c>
      <c r="D29" s="8">
        <f>C29-B29</f>
        <v/>
      </c>
      <c r="E29" s="8">
        <f>(C29-B29)/B29</f>
        <v/>
      </c>
      <c r="F29" s="9">
        <f>IF(D29&gt;0, "Outperformed", "Underperformed")</f>
        <v/>
      </c>
    </row>
    <row r="30">
      <c r="A30" s="2" t="inlineStr">
        <is>
          <t>CH-029</t>
        </is>
      </c>
      <c r="B30" s="3" t="n">
        <v>0.0859872262016239</v>
      </c>
      <c r="C30" s="3" t="n">
        <v>0.1224930273017528</v>
      </c>
      <c r="D30" s="4">
        <f>C30-B30</f>
        <v/>
      </c>
      <c r="E30" s="4">
        <f>(C30-B30)/B30</f>
        <v/>
      </c>
      <c r="F30" s="9">
        <f>IF(D30&gt;0, "Outperformed", "Underperformed")</f>
        <v/>
      </c>
    </row>
    <row r="31">
      <c r="A31" s="6" t="inlineStr">
        <is>
          <t>CH-030</t>
        </is>
      </c>
      <c r="B31" s="7" t="n">
        <v>0.09216612500413447</v>
      </c>
      <c r="C31" s="7" t="n">
        <v>0.110430486917676</v>
      </c>
      <c r="D31" s="8">
        <f>C31-B31</f>
        <v/>
      </c>
      <c r="E31" s="8">
        <f>(C31-B31)/B31</f>
        <v/>
      </c>
      <c r="F31" s="9">
        <f>IF(D31&gt;0, "Outperformed", "Underperformed")</f>
        <v/>
      </c>
    </row>
    <row r="32">
      <c r="A32" s="2" t="inlineStr">
        <is>
          <t>CH-031</t>
        </is>
      </c>
      <c r="B32" s="3" t="n">
        <v>0.08596586775541207</v>
      </c>
      <c r="C32" s="3" t="n">
        <v>0.08948673137867734</v>
      </c>
      <c r="D32" s="4">
        <f>C32-B32</f>
        <v/>
      </c>
      <c r="E32" s="4">
        <f>(C32-B32)/B32</f>
        <v/>
      </c>
      <c r="F32" s="9">
        <f>IF(D32&gt;0, "Outperformed", "Underperformed")</f>
        <v/>
      </c>
    </row>
    <row r="33">
      <c r="A33" s="6" t="inlineStr">
        <is>
          <t>CH-032</t>
        </is>
      </c>
      <c r="B33" s="7" t="n">
        <v>0.1350455636901788</v>
      </c>
      <c r="C33" s="7" t="n">
        <v>0.1218712594961205</v>
      </c>
      <c r="D33" s="8">
        <f>C33-B33</f>
        <v/>
      </c>
      <c r="E33" s="8">
        <f>(C33-B33)/B33</f>
        <v/>
      </c>
      <c r="F33" s="5">
        <f>IF(D33&gt;0, "Outperformed", "Underperformed")</f>
        <v/>
      </c>
    </row>
    <row r="34">
      <c r="A34" s="2" t="inlineStr">
        <is>
          <t>CH-033</t>
        </is>
      </c>
      <c r="B34" s="3" t="n">
        <v>0.09773005550524133</v>
      </c>
      <c r="C34" s="3" t="n">
        <v>0.09925392572547789</v>
      </c>
      <c r="D34" s="4">
        <f>C34-B34</f>
        <v/>
      </c>
      <c r="E34" s="4">
        <f>(C34-B34)/B34</f>
        <v/>
      </c>
      <c r="F34" s="9">
        <f>IF(D34&gt;0, "Outperformed", "Underperformed")</f>
        <v/>
      </c>
    </row>
    <row r="35">
      <c r="A35" s="6" t="inlineStr">
        <is>
          <t>CH-034</t>
        </is>
      </c>
      <c r="B35" s="7" t="n">
        <v>0.076845781420882</v>
      </c>
      <c r="C35" s="7" t="n">
        <v>0.1299718486127036</v>
      </c>
      <c r="D35" s="8">
        <f>C35-B35</f>
        <v/>
      </c>
      <c r="E35" s="8">
        <f>(C35-B35)/B35</f>
        <v/>
      </c>
      <c r="F35" s="9">
        <f>IF(D35&gt;0, "Outperformed", "Underperformed")</f>
        <v/>
      </c>
    </row>
    <row r="36">
      <c r="A36" s="2" t="inlineStr">
        <is>
          <t>CH-035</t>
        </is>
      </c>
      <c r="B36" s="3" t="n">
        <v>0.1144508982420638</v>
      </c>
      <c r="C36" s="3" t="n">
        <v>0.1021115153153239</v>
      </c>
      <c r="D36" s="4">
        <f>C36-B36</f>
        <v/>
      </c>
      <c r="E36" s="4">
        <f>(C36-B36)/B36</f>
        <v/>
      </c>
      <c r="F36" s="5">
        <f>IF(D36&gt;0, "Outperformed", "Underperformed")</f>
        <v/>
      </c>
    </row>
    <row r="37">
      <c r="A37" s="6" t="inlineStr">
        <is>
          <t>CH-036</t>
        </is>
      </c>
      <c r="B37" s="7" t="n">
        <v>0.07358312700057956</v>
      </c>
      <c r="C37" s="7" t="n">
        <v>0.1514986881003508</v>
      </c>
      <c r="D37" s="8">
        <f>C37-B37</f>
        <v/>
      </c>
      <c r="E37" s="8">
        <f>(C37-B37)/B37</f>
        <v/>
      </c>
      <c r="F37" s="9">
        <f>IF(D37&gt;0, "Outperformed", "Underperformed")</f>
        <v/>
      </c>
    </row>
    <row r="38">
      <c r="A38" s="2" t="inlineStr">
        <is>
          <t>CH-037</t>
        </is>
      </c>
      <c r="B38" s="3" t="n">
        <v>0.1021772719000951</v>
      </c>
      <c r="C38" s="3" t="n">
        <v>0.1048349341532753</v>
      </c>
      <c r="D38" s="4">
        <f>C38-B38</f>
        <v/>
      </c>
      <c r="E38" s="4">
        <f>(C38-B38)/B38</f>
        <v/>
      </c>
      <c r="F38" s="9">
        <f>IF(D38&gt;0, "Outperformed", "Underperformed")</f>
        <v/>
      </c>
    </row>
    <row r="39">
      <c r="A39" s="6" t="inlineStr">
        <is>
          <t>CH-038</t>
        </is>
      </c>
      <c r="B39" s="7" t="n">
        <v>0.05880659752240449</v>
      </c>
      <c r="C39" s="7" t="n">
        <v>0.1140587696758865</v>
      </c>
      <c r="D39" s="8">
        <f>C39-B39</f>
        <v/>
      </c>
      <c r="E39" s="8">
        <f>(C39-B39)/B39</f>
        <v/>
      </c>
      <c r="F39" s="9">
        <f>IF(D39&gt;0, "Outperformed", "Underperformed")</f>
        <v/>
      </c>
    </row>
    <row r="40">
      <c r="A40" s="2" t="inlineStr">
        <is>
          <t>CH-039</t>
        </is>
      </c>
      <c r="B40" s="3" t="n">
        <v>0.0714362790220314</v>
      </c>
      <c r="C40" s="3" t="n">
        <v>0.1367703443473934</v>
      </c>
      <c r="D40" s="4">
        <f>C40-B40</f>
        <v/>
      </c>
      <c r="E40" s="4">
        <f>(C40-B40)/B40</f>
        <v/>
      </c>
      <c r="F40" s="9">
        <f>IF(D40&gt;0, "Outperformed", "Underperformed")</f>
        <v/>
      </c>
    </row>
    <row r="41">
      <c r="A41" s="6" t="inlineStr">
        <is>
          <t>CH-040</t>
        </is>
      </c>
      <c r="B41" s="7" t="n">
        <v>0.1019372247173825</v>
      </c>
      <c r="C41" s="7" t="n">
        <v>0.0958827136713209</v>
      </c>
      <c r="D41" s="8">
        <f>C41-B41</f>
        <v/>
      </c>
      <c r="E41" s="8">
        <f>(C41-B41)/B41</f>
        <v/>
      </c>
      <c r="F41" s="5">
        <f>IF(D41&gt;0, "Outperformed", "Underperformed")</f>
        <v/>
      </c>
    </row>
    <row r="42">
      <c r="A42" s="2" t="inlineStr">
        <is>
          <t>CH-041</t>
        </is>
      </c>
      <c r="B42" s="3" t="n">
        <v>0.1127693315999082</v>
      </c>
      <c r="C42" s="3" t="n">
        <v>0.1250491986920826</v>
      </c>
      <c r="D42" s="4">
        <f>C42-B42</f>
        <v/>
      </c>
      <c r="E42" s="4">
        <f>(C42-B42)/B42</f>
        <v/>
      </c>
      <c r="F42" s="9">
        <f>IF(D42&gt;0, "Outperformed", "Underperformed")</f>
        <v/>
      </c>
    </row>
    <row r="43">
      <c r="A43" s="6" t="inlineStr">
        <is>
          <t>CH-042</t>
        </is>
      </c>
      <c r="B43" s="7" t="n">
        <v>0.1014273656237994</v>
      </c>
      <c r="C43" s="7" t="n">
        <v>0.1466428550856486</v>
      </c>
      <c r="D43" s="8">
        <f>C43-B43</f>
        <v/>
      </c>
      <c r="E43" s="8">
        <f>(C43-B43)/B43</f>
        <v/>
      </c>
      <c r="F43" s="9">
        <f>IF(D43&gt;0, "Outperformed", "Underperformed")</f>
        <v/>
      </c>
    </row>
    <row r="44">
      <c r="A44" s="2" t="inlineStr">
        <is>
          <t>CH-043</t>
        </is>
      </c>
      <c r="B44" s="3" t="n">
        <v>0.09568703435223519</v>
      </c>
      <c r="C44" s="3" t="n">
        <v>0.08835033530877545</v>
      </c>
      <c r="D44" s="4">
        <f>C44-B44</f>
        <v/>
      </c>
      <c r="E44" s="4">
        <f>(C44-B44)/B44</f>
        <v/>
      </c>
      <c r="F44" s="5">
        <f>IF(D44&gt;0, "Outperformed", "Underperformed")</f>
        <v/>
      </c>
    </row>
    <row r="45">
      <c r="A45" s="6" t="inlineStr">
        <is>
          <t>CH-044</t>
        </is>
      </c>
      <c r="B45" s="7" t="n">
        <v>0.09197792608821423</v>
      </c>
      <c r="C45" s="7" t="n">
        <v>0.1241926771706461</v>
      </c>
      <c r="D45" s="8">
        <f>C45-B45</f>
        <v/>
      </c>
      <c r="E45" s="8">
        <f>(C45-B45)/B45</f>
        <v/>
      </c>
      <c r="F45" s="9">
        <f>IF(D45&gt;0, "Outperformed", "Underperformed")</f>
        <v/>
      </c>
    </row>
    <row r="46">
      <c r="A46" s="2" t="inlineStr">
        <is>
          <t>CH-045</t>
        </is>
      </c>
      <c r="B46" s="3" t="n">
        <v>0.06842956019265145</v>
      </c>
      <c r="C46" s="3" t="n">
        <v>0.1256976558849685</v>
      </c>
      <c r="D46" s="4">
        <f>C46-B46</f>
        <v/>
      </c>
      <c r="E46" s="4">
        <f>(C46-B46)/B46</f>
        <v/>
      </c>
      <c r="F46" s="9">
        <f>IF(D46&gt;0, "Outperformed", "Underperformed")</f>
        <v/>
      </c>
    </row>
    <row r="47">
      <c r="A47" s="6" t="inlineStr">
        <is>
          <t>CH-046</t>
        </is>
      </c>
      <c r="B47" s="7" t="n">
        <v>0.08360311583210583</v>
      </c>
      <c r="C47" s="7" t="n">
        <v>0.1361364574355462</v>
      </c>
      <c r="D47" s="8">
        <f>C47-B47</f>
        <v/>
      </c>
      <c r="E47" s="8">
        <f>(C47-B47)/B47</f>
        <v/>
      </c>
      <c r="F47" s="9">
        <f>IF(D47&gt;0, "Outperformed", "Underperformed")</f>
        <v/>
      </c>
    </row>
    <row r="48">
      <c r="A48" s="2" t="inlineStr">
        <is>
          <t>CH-047</t>
        </is>
      </c>
      <c r="B48" s="3" t="n">
        <v>0.08878722458080425</v>
      </c>
      <c r="C48" s="3" t="n">
        <v>0.09576098578243836</v>
      </c>
      <c r="D48" s="4">
        <f>C48-B48</f>
        <v/>
      </c>
      <c r="E48" s="4">
        <f>(C48-B48)/B48</f>
        <v/>
      </c>
      <c r="F48" s="9">
        <f>IF(D48&gt;0, "Outperformed", "Underperformed")</f>
        <v/>
      </c>
    </row>
    <row r="49">
      <c r="A49" s="6" t="inlineStr">
        <is>
          <t>CH-048</t>
        </is>
      </c>
      <c r="B49" s="7" t="n">
        <v>0.1191424445243783</v>
      </c>
      <c r="C49" s="7" t="n">
        <v>0.09409086773831447</v>
      </c>
      <c r="D49" s="8">
        <f>C49-B49</f>
        <v/>
      </c>
      <c r="E49" s="8">
        <f>(C49-B49)/B49</f>
        <v/>
      </c>
      <c r="F49" s="5">
        <f>IF(D49&gt;0, "Outperformed", "Underperformed")</f>
        <v/>
      </c>
    </row>
    <row r="50">
      <c r="A50" s="2" t="inlineStr">
        <is>
          <t>CH-049</t>
        </is>
      </c>
      <c r="B50" s="3" t="n">
        <v>0.1048723657913692</v>
      </c>
      <c r="C50" s="3" t="n">
        <v>0.1309388313123379</v>
      </c>
      <c r="D50" s="4">
        <f>C50-B50</f>
        <v/>
      </c>
      <c r="E50" s="4">
        <f>(C50-B50)/B50</f>
        <v/>
      </c>
      <c r="F50" s="9">
        <f>IF(D50&gt;0, "Outperformed", "Underperformed")</f>
        <v/>
      </c>
    </row>
    <row r="51">
      <c r="A51" s="6" t="inlineStr">
        <is>
          <t>CH-050</t>
        </is>
      </c>
      <c r="B51" s="7" t="n">
        <v>0.06273919689274532</v>
      </c>
      <c r="C51" s="7" t="n">
        <v>0.1264396934646637</v>
      </c>
      <c r="D51" s="8">
        <f>C51-B51</f>
        <v/>
      </c>
      <c r="E51" s="8">
        <f>(C51-B51)/B51</f>
        <v/>
      </c>
      <c r="F51" s="9">
        <f>IF(D51&gt;0, "Outperformed", "Underperformed")</f>
        <v/>
      </c>
    </row>
    <row r="52">
      <c r="A52" s="2" t="inlineStr">
        <is>
          <t>CH-051</t>
        </is>
      </c>
      <c r="B52" s="3" t="n">
        <v>0.1044816793878959</v>
      </c>
      <c r="C52" s="3" t="n">
        <v>0.1255098570069175</v>
      </c>
      <c r="D52" s="4">
        <f>C52-B52</f>
        <v/>
      </c>
      <c r="E52" s="4">
        <f>(C52-B52)/B52</f>
        <v/>
      </c>
      <c r="F52" s="9">
        <f>IF(D52&gt;0, "Outperformed", "Underperformed")</f>
        <v/>
      </c>
    </row>
    <row r="53">
      <c r="A53" s="6" t="inlineStr">
        <is>
          <t>CH-052</t>
        </is>
      </c>
      <c r="B53" s="7" t="n">
        <v>0.09029835439167368</v>
      </c>
      <c r="C53" s="7" t="n">
        <v>0.1274289641899395</v>
      </c>
      <c r="D53" s="8">
        <f>C53-B53</f>
        <v/>
      </c>
      <c r="E53" s="8">
        <f>(C53-B53)/B53</f>
        <v/>
      </c>
      <c r="F53" s="9">
        <f>IF(D53&gt;0, "Outperformed", "Underperformed")</f>
        <v/>
      </c>
    </row>
    <row r="54">
      <c r="A54" s="2" t="inlineStr">
        <is>
          <t>CH-053</t>
        </is>
      </c>
      <c r="B54" s="3" t="n">
        <v>0.08446155999388083</v>
      </c>
      <c r="C54" s="3" t="n">
        <v>0.1068995055684302</v>
      </c>
      <c r="D54" s="4">
        <f>C54-B54</f>
        <v/>
      </c>
      <c r="E54" s="4">
        <f>(C54-B54)/B54</f>
        <v/>
      </c>
      <c r="F54" s="9">
        <f>IF(D54&gt;0, "Outperformed", "Underperformed")</f>
        <v/>
      </c>
    </row>
    <row r="55">
      <c r="A55" s="6" t="inlineStr">
        <is>
          <t>CH-054</t>
        </is>
      </c>
      <c r="B55" s="7" t="n">
        <v>0.1102335257768174</v>
      </c>
      <c r="C55" s="7" t="n">
        <v>0.1251450739432201</v>
      </c>
      <c r="D55" s="8">
        <f>C55-B55</f>
        <v/>
      </c>
      <c r="E55" s="8">
        <f>(C55-B55)/B55</f>
        <v/>
      </c>
      <c r="F55" s="9">
        <f>IF(D55&gt;0, "Outperformed", "Underperformed")</f>
        <v/>
      </c>
    </row>
    <row r="56">
      <c r="A56" s="2" t="inlineStr">
        <is>
          <t>CH-055</t>
        </is>
      </c>
      <c r="B56" s="3" t="n">
        <v>0.118619990449919</v>
      </c>
      <c r="C56" s="3" t="n">
        <v>0.1263614494659736</v>
      </c>
      <c r="D56" s="4">
        <f>C56-B56</f>
        <v/>
      </c>
      <c r="E56" s="4">
        <f>(C56-B56)/B56</f>
        <v/>
      </c>
      <c r="F56" s="9">
        <f>IF(D56&gt;0, "Outperformed", "Underperformed")</f>
        <v/>
      </c>
    </row>
    <row r="57">
      <c r="A57" s="6" t="inlineStr">
        <is>
          <t>CH-056</t>
        </is>
      </c>
      <c r="B57" s="7" t="n">
        <v>0.116625602382324</v>
      </c>
      <c r="C57" s="7" t="n">
        <v>0.1062129716394726</v>
      </c>
      <c r="D57" s="8">
        <f>C57-B57</f>
        <v/>
      </c>
      <c r="E57" s="8">
        <f>(C57-B57)/B57</f>
        <v/>
      </c>
      <c r="F57" s="5">
        <f>IF(D57&gt;0, "Outperformed", "Underperformed")</f>
        <v/>
      </c>
    </row>
    <row r="58">
      <c r="A58" s="2" t="inlineStr">
        <is>
          <t>CH-057</t>
        </is>
      </c>
      <c r="B58" s="3" t="n">
        <v>0.08121564953554723</v>
      </c>
      <c r="C58" s="3" t="n">
        <v>0.1578154902228951</v>
      </c>
      <c r="D58" s="4">
        <f>C58-B58</f>
        <v/>
      </c>
      <c r="E58" s="4">
        <f>(C58-B58)/B58</f>
        <v/>
      </c>
      <c r="F58" s="9">
        <f>IF(D58&gt;0, "Outperformed", "Underperformed")</f>
        <v/>
      </c>
    </row>
    <row r="59">
      <c r="A59" s="6" t="inlineStr">
        <is>
          <t>CH-058</t>
        </is>
      </c>
      <c r="B59" s="7" t="n">
        <v>0.09181575248297572</v>
      </c>
      <c r="C59" s="7" t="n">
        <v>0.1299766584182357</v>
      </c>
      <c r="D59" s="8">
        <f>C59-B59</f>
        <v/>
      </c>
      <c r="E59" s="8">
        <f>(C59-B59)/B59</f>
        <v/>
      </c>
      <c r="F59" s="9">
        <f>IF(D59&gt;0, "Outperformed", "Underperformed")</f>
        <v/>
      </c>
    </row>
    <row r="60">
      <c r="A60" s="2" t="inlineStr">
        <is>
          <t>CH-059</t>
        </is>
      </c>
      <c r="B60" s="3" t="n">
        <v>0.1046252686280713</v>
      </c>
      <c r="C60" s="3" t="n">
        <v>0.09667393005594702</v>
      </c>
      <c r="D60" s="4">
        <f>C60-B60</f>
        <v/>
      </c>
      <c r="E60" s="4">
        <f>(C60-B60)/B60</f>
        <v/>
      </c>
      <c r="F60" s="5">
        <f>IF(D60&gt;0, "Outperformed", "Underperformed")</f>
        <v/>
      </c>
    </row>
    <row r="61">
      <c r="A61" s="6" t="inlineStr">
        <is>
          <t>CH-060</t>
        </is>
      </c>
      <c r="B61" s="7" t="n">
        <v>0.1175109025424472</v>
      </c>
      <c r="C61" s="7" t="n">
        <v>0.1336310721726766</v>
      </c>
      <c r="D61" s="8">
        <f>C61-B61</f>
        <v/>
      </c>
      <c r="E61" s="8">
        <f>(C61-B61)/B61</f>
        <v/>
      </c>
      <c r="F61" s="9">
        <f>IF(D61&gt;0, "Outperformed", "Underperformed")</f>
        <v/>
      </c>
    </row>
    <row r="62">
      <c r="A62" s="2" t="inlineStr">
        <is>
          <t>CH-061</t>
        </is>
      </c>
      <c r="B62" s="3" t="n">
        <v>0.0884165152430942</v>
      </c>
      <c r="C62" s="3" t="n">
        <v>0.1010063665954536</v>
      </c>
      <c r="D62" s="4">
        <f>C62-B62</f>
        <v/>
      </c>
      <c r="E62" s="4">
        <f>(C62-B62)/B62</f>
        <v/>
      </c>
      <c r="F62" s="9">
        <f>IF(D62&gt;0, "Outperformed", "Underperformed")</f>
        <v/>
      </c>
    </row>
    <row r="63">
      <c r="A63" s="6" t="inlineStr">
        <is>
          <t>CH-062</t>
        </is>
      </c>
      <c r="B63" s="7" t="n">
        <v>0.09428682046672367</v>
      </c>
      <c r="C63" s="7" t="n">
        <v>0.136241692074849</v>
      </c>
      <c r="D63" s="8">
        <f>C63-B63</f>
        <v/>
      </c>
      <c r="E63" s="8">
        <f>(C63-B63)/B63</f>
        <v/>
      </c>
      <c r="F63" s="9">
        <f>IF(D63&gt;0, "Outperformed", "Underperformed")</f>
        <v/>
      </c>
    </row>
    <row r="64">
      <c r="A64" s="2" t="inlineStr">
        <is>
          <t>CH-063</t>
        </is>
      </c>
      <c r="B64" s="3" t="n">
        <v>0.07587330051987944</v>
      </c>
      <c r="C64" s="3" t="n">
        <v>0.1436719115801481</v>
      </c>
      <c r="D64" s="4">
        <f>C64-B64</f>
        <v/>
      </c>
      <c r="E64" s="4">
        <f>(C64-B64)/B64</f>
        <v/>
      </c>
      <c r="F64" s="9">
        <f>IF(D64&gt;0, "Outperformed", "Underperformed")</f>
        <v/>
      </c>
    </row>
    <row r="65">
      <c r="A65" s="6" t="inlineStr">
        <is>
          <t>CH-064</t>
        </is>
      </c>
      <c r="B65" s="7" t="n">
        <v>0.07407586751838659</v>
      </c>
      <c r="C65" s="7" t="n">
        <v>0.1040863536329658</v>
      </c>
      <c r="D65" s="8">
        <f>C65-B65</f>
        <v/>
      </c>
      <c r="E65" s="8">
        <f>(C65-B65)/B65</f>
        <v/>
      </c>
      <c r="F65" s="9">
        <f>IF(D65&gt;0, "Outperformed", "Underperformed")</f>
        <v/>
      </c>
    </row>
    <row r="66">
      <c r="A66" s="2" t="inlineStr">
        <is>
          <t>CH-065</t>
        </is>
      </c>
      <c r="B66" s="3" t="n">
        <v>0.114250516447884</v>
      </c>
      <c r="C66" s="3" t="n">
        <v>0.1397675225848864</v>
      </c>
      <c r="D66" s="4">
        <f>C66-B66</f>
        <v/>
      </c>
      <c r="E66" s="4">
        <f>(C66-B66)/B66</f>
        <v/>
      </c>
      <c r="F66" s="9">
        <f>IF(D66&gt;0, "Outperformed", "Underperformed")</f>
        <v/>
      </c>
    </row>
    <row r="67">
      <c r="A67" s="6" t="inlineStr">
        <is>
          <t>CH-066</t>
        </is>
      </c>
      <c r="B67" s="7" t="n">
        <v>0.1251248005714165</v>
      </c>
      <c r="C67" s="7" t="n">
        <v>0.12875561853873</v>
      </c>
      <c r="D67" s="8">
        <f>C67-B67</f>
        <v/>
      </c>
      <c r="E67" s="8">
        <f>(C67-B67)/B67</f>
        <v/>
      </c>
      <c r="F67" s="9">
        <f>IF(D67&gt;0, "Outperformed", "Underperformed")</f>
        <v/>
      </c>
    </row>
    <row r="68">
      <c r="A68" s="2" t="inlineStr">
        <is>
          <t>CH-067</t>
        </is>
      </c>
      <c r="B68" s="3" t="n">
        <v>0.09655979756839332</v>
      </c>
      <c r="C68" s="3" t="n">
        <v>0.1369412031998898</v>
      </c>
      <c r="D68" s="4">
        <f>C68-B68</f>
        <v/>
      </c>
      <c r="E68" s="4">
        <f>(C68-B68)/B68</f>
        <v/>
      </c>
      <c r="F68" s="9">
        <f>IF(D68&gt;0, "Outperformed", "Underperformed")</f>
        <v/>
      </c>
    </row>
    <row r="69">
      <c r="A69" s="6" t="inlineStr">
        <is>
          <t>CH-068</t>
        </is>
      </c>
      <c r="B69" s="7" t="n">
        <v>0.1180706579578405</v>
      </c>
      <c r="C69" s="7" t="n">
        <v>0.1584358596530789</v>
      </c>
      <c r="D69" s="8">
        <f>C69-B69</f>
        <v/>
      </c>
      <c r="E69" s="8">
        <f>(C69-B69)/B69</f>
        <v/>
      </c>
      <c r="F69" s="9">
        <f>IF(D69&gt;0, "Outperformed", "Underperformed")</f>
        <v/>
      </c>
    </row>
    <row r="70">
      <c r="A70" s="2" t="inlineStr">
        <is>
          <t>CH-069</t>
        </is>
      </c>
      <c r="B70" s="3" t="n">
        <v>0.1052327205009527</v>
      </c>
      <c r="C70" s="3" t="n">
        <v>0.1155922376799426</v>
      </c>
      <c r="D70" s="4">
        <f>C70-B70</f>
        <v/>
      </c>
      <c r="E70" s="4">
        <f>(C70-B70)/B70</f>
        <v/>
      </c>
      <c r="F70" s="9">
        <f>IF(D70&gt;0, "Outperformed", "Underperformed")</f>
        <v/>
      </c>
    </row>
    <row r="71">
      <c r="A71" s="6" t="inlineStr">
        <is>
          <t>CH-070</t>
        </is>
      </c>
      <c r="B71" s="7" t="n">
        <v>0.08509760490789751</v>
      </c>
      <c r="C71" s="7" t="n">
        <v>0.1054252767128502</v>
      </c>
      <c r="D71" s="8">
        <f>C71-B71</f>
        <v/>
      </c>
      <c r="E71" s="8">
        <f>(C71-B71)/B71</f>
        <v/>
      </c>
      <c r="F71" s="9">
        <f>IF(D71&gt;0, "Outperformed", "Underperformed")</f>
        <v/>
      </c>
    </row>
    <row r="72">
      <c r="A72" s="2" t="inlineStr">
        <is>
          <t>CH-071</t>
        </is>
      </c>
      <c r="B72" s="3" t="n">
        <v>0.1052279121101683</v>
      </c>
      <c r="C72" s="3" t="n">
        <v>0.1027097114074895</v>
      </c>
      <c r="D72" s="4">
        <f>C72-B72</f>
        <v/>
      </c>
      <c r="E72" s="4">
        <f>(C72-B72)/B72</f>
        <v/>
      </c>
      <c r="F72" s="5">
        <f>IF(D72&gt;0, "Outperformed", "Underperformed")</f>
        <v/>
      </c>
    </row>
    <row r="73">
      <c r="A73" s="6" t="inlineStr">
        <is>
          <t>CH-072</t>
        </is>
      </c>
      <c r="B73" s="7" t="n">
        <v>0.1287607313293194</v>
      </c>
      <c r="C73" s="7" t="n">
        <v>0.1041837943006912</v>
      </c>
      <c r="D73" s="8">
        <f>C73-B73</f>
        <v/>
      </c>
      <c r="E73" s="8">
        <f>(C73-B73)/B73</f>
        <v/>
      </c>
      <c r="F73" s="5">
        <f>IF(D73&gt;0, "Outperformed", "Underperformed")</f>
        <v/>
      </c>
    </row>
    <row r="74">
      <c r="A74" s="2" t="inlineStr">
        <is>
          <t>CH-073</t>
        </is>
      </c>
      <c r="B74" s="3" t="n">
        <v>0.09728347921780098</v>
      </c>
      <c r="C74" s="3" t="n">
        <v>0.1189579658117179</v>
      </c>
      <c r="D74" s="4">
        <f>C74-B74</f>
        <v/>
      </c>
      <c r="E74" s="4">
        <f>(C74-B74)/B74</f>
        <v/>
      </c>
      <c r="F74" s="9">
        <f>IF(D74&gt;0, "Outperformed", "Underperformed")</f>
        <v/>
      </c>
    </row>
    <row r="75">
      <c r="A75" s="6" t="inlineStr">
        <is>
          <t>CH-074</t>
        </is>
      </c>
      <c r="B75" s="7" t="n">
        <v>0.1292928731162801</v>
      </c>
      <c r="C75" s="7" t="n">
        <v>0.1273230394963329</v>
      </c>
      <c r="D75" s="8">
        <f>C75-B75</f>
        <v/>
      </c>
      <c r="E75" s="8">
        <f>(C75-B75)/B75</f>
        <v/>
      </c>
      <c r="F75" s="5">
        <f>IF(D75&gt;0, "Outperformed", "Underperformed")</f>
        <v/>
      </c>
    </row>
    <row r="76">
      <c r="A76" s="2" t="inlineStr">
        <is>
          <t>CH-075</t>
        </is>
      </c>
      <c r="B76" s="3" t="n">
        <v>0.04560509791820511</v>
      </c>
      <c r="C76" s="3" t="n">
        <v>0.1260338159866004</v>
      </c>
      <c r="D76" s="4">
        <f>C76-B76</f>
        <v/>
      </c>
      <c r="E76" s="4">
        <f>(C76-B76)/B76</f>
        <v/>
      </c>
      <c r="F76" s="9">
        <f>IF(D76&gt;0, "Outperformed", "Underperformed")</f>
        <v/>
      </c>
    </row>
    <row r="77">
      <c r="A77" s="6" t="inlineStr">
        <is>
          <t>CH-076</t>
        </is>
      </c>
      <c r="B77" s="7" t="n">
        <v>0.1144380500875045</v>
      </c>
      <c r="C77" s="7" t="n">
        <v>0.1370436649807205</v>
      </c>
      <c r="D77" s="8">
        <f>C77-B77</f>
        <v/>
      </c>
      <c r="E77" s="8">
        <f>(C77-B77)/B77</f>
        <v/>
      </c>
      <c r="F77" s="9">
        <f>IF(D77&gt;0, "Outperformed", "Underperformed")</f>
        <v/>
      </c>
    </row>
    <row r="78">
      <c r="A78" s="2" t="inlineStr">
        <is>
          <t>CH-077</t>
        </is>
      </c>
      <c r="B78" s="3" t="n">
        <v>0.09974094136476343</v>
      </c>
      <c r="C78" s="3" t="n">
        <v>0.1207600378375581</v>
      </c>
      <c r="D78" s="4">
        <f>C78-B78</f>
        <v/>
      </c>
      <c r="E78" s="4">
        <f>(C78-B78)/B78</f>
        <v/>
      </c>
      <c r="F78" s="9">
        <f>IF(D78&gt;0, "Outperformed", "Underperformed")</f>
        <v/>
      </c>
    </row>
    <row r="79">
      <c r="A79" s="6" t="inlineStr">
        <is>
          <t>CH-078</t>
        </is>
      </c>
      <c r="B79" s="7" t="n">
        <v>0.09201985299068266</v>
      </c>
      <c r="C79" s="7" t="n">
        <v>0.1495706815431463</v>
      </c>
      <c r="D79" s="8">
        <f>C79-B79</f>
        <v/>
      </c>
      <c r="E79" s="8">
        <f>(C79-B79)/B79</f>
        <v/>
      </c>
      <c r="F79" s="9">
        <f>IF(D79&gt;0, "Outperformed", "Underperformed")</f>
        <v/>
      </c>
    </row>
    <row r="80">
      <c r="A80" s="2" t="inlineStr">
        <is>
          <t>CH-079</t>
        </is>
      </c>
      <c r="B80" s="3" t="n">
        <v>0.09983521553071005</v>
      </c>
      <c r="C80" s="3" t="n">
        <v>0.1152068633352409</v>
      </c>
      <c r="D80" s="4">
        <f>C80-B80</f>
        <v/>
      </c>
      <c r="E80" s="4">
        <f>(C80-B80)/B80</f>
        <v/>
      </c>
      <c r="F80" s="9">
        <f>IF(D80&gt;0, "Outperformed", "Underperformed")</f>
        <v/>
      </c>
    </row>
    <row r="81">
      <c r="A81" s="6" t="inlineStr">
        <is>
          <t>CH-080</t>
        </is>
      </c>
      <c r="B81" s="7" t="n">
        <v>0.05824862170798215</v>
      </c>
      <c r="C81" s="7" t="n">
        <v>0.1749033833317924</v>
      </c>
      <c r="D81" s="8">
        <f>C81-B81</f>
        <v/>
      </c>
      <c r="E81" s="8">
        <f>(C81-B81)/B81</f>
        <v/>
      </c>
      <c r="F81" s="9">
        <f>IF(D81&gt;0, "Outperformed", "Underperformed")</f>
        <v/>
      </c>
    </row>
    <row r="82">
      <c r="A82" s="2" t="inlineStr">
        <is>
          <t>CH-081</t>
        </is>
      </c>
      <c r="B82" s="3" t="n">
        <v>0.09360656224324976</v>
      </c>
      <c r="C82" s="3" t="n">
        <v>0.1330133469553001</v>
      </c>
      <c r="D82" s="4">
        <f>C82-B82</f>
        <v/>
      </c>
      <c r="E82" s="4">
        <f>(C82-B82)/B82</f>
        <v/>
      </c>
      <c r="F82" s="9">
        <f>IF(D82&gt;0, "Outperformed", "Underperformed")</f>
        <v/>
      </c>
    </row>
    <row r="83">
      <c r="A83" s="6" t="inlineStr">
        <is>
          <t>CH-082</t>
        </is>
      </c>
      <c r="B83" s="7" t="n">
        <v>0.1051422514302349</v>
      </c>
      <c r="C83" s="7" t="n">
        <v>0.1033568488716743</v>
      </c>
      <c r="D83" s="8">
        <f>C83-B83</f>
        <v/>
      </c>
      <c r="E83" s="8">
        <f>(C83-B83)/B83</f>
        <v/>
      </c>
      <c r="F83" s="5">
        <f>IF(D83&gt;0, "Outperformed", "Underperformed")</f>
        <v/>
      </c>
    </row>
    <row r="84">
      <c r="A84" s="2" t="inlineStr">
        <is>
          <t>CH-083</t>
        </is>
      </c>
      <c r="B84" s="3" t="n">
        <v>0.1275578808948303</v>
      </c>
      <c r="C84" s="3" t="n">
        <v>0.09908215003877775</v>
      </c>
      <c r="D84" s="4">
        <f>C84-B84</f>
        <v/>
      </c>
      <c r="E84" s="4">
        <f>(C84-B84)/B84</f>
        <v/>
      </c>
      <c r="F84" s="5">
        <f>IF(D84&gt;0, "Outperformed", "Underperformed")</f>
        <v/>
      </c>
    </row>
    <row r="85">
      <c r="A85" s="6" t="inlineStr">
        <is>
          <t>CH-084</t>
        </is>
      </c>
      <c r="B85" s="7" t="n">
        <v>0.08763459563452705</v>
      </c>
      <c r="C85" s="7" t="n">
        <v>0.1301494483048637</v>
      </c>
      <c r="D85" s="8">
        <f>C85-B85</f>
        <v/>
      </c>
      <c r="E85" s="8">
        <f>(C85-B85)/B85</f>
        <v/>
      </c>
      <c r="F85" s="9">
        <f>IF(D85&gt;0, "Outperformed", "Underperformed")</f>
        <v/>
      </c>
    </row>
    <row r="86">
      <c r="A86" s="2" t="inlineStr">
        <is>
          <t>CH-085</t>
        </is>
      </c>
      <c r="B86" s="3" t="n">
        <v>0.08183012794213625</v>
      </c>
      <c r="C86" s="3" t="n">
        <v>0.116030744293483</v>
      </c>
      <c r="D86" s="4">
        <f>C86-B86</f>
        <v/>
      </c>
      <c r="E86" s="4">
        <f>(C86-B86)/B86</f>
        <v/>
      </c>
      <c r="F86" s="9">
        <f>IF(D86&gt;0, "Outperformed", "Underperformed")</f>
        <v/>
      </c>
    </row>
    <row r="87">
      <c r="A87" s="6" t="inlineStr">
        <is>
          <t>CH-086</t>
        </is>
      </c>
      <c r="B87" s="7" t="n">
        <v>0.08796485912830927</v>
      </c>
      <c r="C87" s="7" t="n">
        <v>0.1347800098818418</v>
      </c>
      <c r="D87" s="8">
        <f>C87-B87</f>
        <v/>
      </c>
      <c r="E87" s="8">
        <f>(C87-B87)/B87</f>
        <v/>
      </c>
      <c r="F87" s="9">
        <f>IF(D87&gt;0, "Outperformed", "Underperformed")</f>
        <v/>
      </c>
    </row>
    <row r="88">
      <c r="A88" s="2" t="inlineStr">
        <is>
          <t>CH-087</t>
        </is>
      </c>
      <c r="B88" s="3" t="n">
        <v>0.1163080423540415</v>
      </c>
      <c r="C88" s="3" t="n">
        <v>0.1299647524914709</v>
      </c>
      <c r="D88" s="4">
        <f>C88-B88</f>
        <v/>
      </c>
      <c r="E88" s="4">
        <f>(C88-B88)/B88</f>
        <v/>
      </c>
      <c r="F88" s="9">
        <f>IF(D88&gt;0, "Outperformed", "Underperformed")</f>
        <v/>
      </c>
    </row>
    <row r="89">
      <c r="A89" s="6" t="inlineStr">
        <is>
          <t>CH-088</t>
        </is>
      </c>
      <c r="B89" s="7" t="n">
        <v>0.1045750221931937</v>
      </c>
      <c r="C89" s="7" t="n">
        <v>0.1190434217468625</v>
      </c>
      <c r="D89" s="8">
        <f>C89-B89</f>
        <v/>
      </c>
      <c r="E89" s="8">
        <f>(C89-B89)/B89</f>
        <v/>
      </c>
      <c r="F89" s="9">
        <f>IF(D89&gt;0, "Outperformed", "Underperformed")</f>
        <v/>
      </c>
    </row>
    <row r="90">
      <c r="A90" s="2" t="inlineStr">
        <is>
          <t>CH-089</t>
        </is>
      </c>
      <c r="B90" s="3" t="n">
        <v>0.08740479592465923</v>
      </c>
      <c r="C90" s="3" t="n">
        <v>0.1035641256386319</v>
      </c>
      <c r="D90" s="4">
        <f>C90-B90</f>
        <v/>
      </c>
      <c r="E90" s="4">
        <f>(C90-B90)/B90</f>
        <v/>
      </c>
      <c r="F90" s="9">
        <f>IF(D90&gt;0, "Outperformed", "Underperformed")</f>
        <v/>
      </c>
    </row>
    <row r="91">
      <c r="A91" s="6" t="inlineStr">
        <is>
          <t>CH-090</t>
        </is>
      </c>
      <c r="B91" s="7" t="n">
        <v>0.1082653486622671</v>
      </c>
      <c r="C91" s="7" t="n">
        <v>0.0902030555062827</v>
      </c>
      <c r="D91" s="8">
        <f>C91-B91</f>
        <v/>
      </c>
      <c r="E91" s="8">
        <f>(C91-B91)/B91</f>
        <v/>
      </c>
      <c r="F91" s="5">
        <f>IF(D91&gt;0, "Outperformed", "Underperformed")</f>
        <v/>
      </c>
    </row>
    <row r="92">
      <c r="A92" s="2" t="inlineStr">
        <is>
          <t>CH-091</t>
        </is>
      </c>
      <c r="B92" s="3" t="n">
        <v>0.09994155098696081</v>
      </c>
      <c r="C92" s="3" t="n">
        <v>0.1115697009586596</v>
      </c>
      <c r="D92" s="4">
        <f>C92-B92</f>
        <v/>
      </c>
      <c r="E92" s="4">
        <f>(C92-B92)/B92</f>
        <v/>
      </c>
      <c r="F92" s="9">
        <f>IF(D92&gt;0, "Outperformed", "Underperformed")</f>
        <v/>
      </c>
    </row>
    <row r="93">
      <c r="A93" s="6" t="inlineStr">
        <is>
          <t>CH-092</t>
        </is>
      </c>
      <c r="B93" s="7" t="n">
        <v>0.1173728998106578</v>
      </c>
      <c r="C93" s="7" t="n">
        <v>0.1376279758864694</v>
      </c>
      <c r="D93" s="8">
        <f>C93-B93</f>
        <v/>
      </c>
      <c r="E93" s="8">
        <f>(C93-B93)/B93</f>
        <v/>
      </c>
      <c r="F93" s="9">
        <f>IF(D93&gt;0, "Outperformed", "Underperformed")</f>
        <v/>
      </c>
    </row>
    <row r="94">
      <c r="A94" s="2" t="inlineStr">
        <is>
          <t>CH-093</t>
        </is>
      </c>
      <c r="B94" s="3" t="n">
        <v>0.08395893812245296</v>
      </c>
      <c r="C94" s="3" t="n">
        <v>0.1247818748826041</v>
      </c>
      <c r="D94" s="4">
        <f>C94-B94</f>
        <v/>
      </c>
      <c r="E94" s="4">
        <f>(C94-B94)/B94</f>
        <v/>
      </c>
      <c r="F94" s="9">
        <f>IF(D94&gt;0, "Outperformed", "Underperformed")</f>
        <v/>
      </c>
    </row>
    <row r="95">
      <c r="A95" s="6" t="inlineStr">
        <is>
          <t>CH-094</t>
        </is>
      </c>
      <c r="B95" s="7" t="n">
        <v>0.09144675706804464</v>
      </c>
      <c r="C95" s="7" t="n">
        <v>0.09558522442576023</v>
      </c>
      <c r="D95" s="8">
        <f>C95-B95</f>
        <v/>
      </c>
      <c r="E95" s="8">
        <f>(C95-B95)/B95</f>
        <v/>
      </c>
      <c r="F95" s="9">
        <f>IF(D95&gt;0, "Outperformed", "Underperformed")</f>
        <v/>
      </c>
    </row>
    <row r="96">
      <c r="A96" s="2" t="inlineStr">
        <is>
          <t>CH-095</t>
        </is>
      </c>
      <c r="B96" s="3" t="n">
        <v>0.09015783693735685</v>
      </c>
      <c r="C96" s="3" t="n">
        <v>0.1239636185170236</v>
      </c>
      <c r="D96" s="4">
        <f>C96-B96</f>
        <v/>
      </c>
      <c r="E96" s="4">
        <f>(C96-B96)/B96</f>
        <v/>
      </c>
      <c r="F96" s="9">
        <f>IF(D96&gt;0, "Outperformed", "Underperformed")</f>
        <v/>
      </c>
    </row>
    <row r="97">
      <c r="A97" s="6" t="inlineStr">
        <is>
          <t>CH-096</t>
        </is>
      </c>
      <c r="B97" s="7" t="n">
        <v>0.06872970103735764</v>
      </c>
      <c r="C97" s="7" t="n">
        <v>0.1282063475945767</v>
      </c>
      <c r="D97" s="8">
        <f>C97-B97</f>
        <v/>
      </c>
      <c r="E97" s="8">
        <f>(C97-B97)/B97</f>
        <v/>
      </c>
      <c r="F97" s="9">
        <f>IF(D97&gt;0, "Outperformed", "Underperformed")</f>
        <v/>
      </c>
    </row>
    <row r="98">
      <c r="A98" s="2" t="inlineStr">
        <is>
          <t>CH-097</t>
        </is>
      </c>
      <c r="B98" s="3" t="n">
        <v>0.1039224055412915</v>
      </c>
      <c r="C98" s="3" t="n">
        <v>0.1028228512759773</v>
      </c>
      <c r="D98" s="4">
        <f>C98-B98</f>
        <v/>
      </c>
      <c r="E98" s="4">
        <f>(C98-B98)/B98</f>
        <v/>
      </c>
      <c r="F98" s="5">
        <f>IF(D98&gt;0, "Outperformed", "Underperformed")</f>
        <v/>
      </c>
    </row>
    <row r="99">
      <c r="A99" s="6" t="inlineStr">
        <is>
          <t>CH-098</t>
        </is>
      </c>
      <c r="B99" s="7" t="n">
        <v>0.1032211054435978</v>
      </c>
      <c r="C99" s="7" t="n">
        <v>0.1235745021189106</v>
      </c>
      <c r="D99" s="8">
        <f>C99-B99</f>
        <v/>
      </c>
      <c r="E99" s="8">
        <f>(C99-B99)/B99</f>
        <v/>
      </c>
      <c r="F99" s="9">
        <f>IF(D99&gt;0, "Outperformed", "Underperformed")</f>
        <v/>
      </c>
    </row>
    <row r="100">
      <c r="A100" s="2" t="inlineStr">
        <is>
          <t>CH-099</t>
        </is>
      </c>
      <c r="B100" s="3" t="n">
        <v>0.09810226913284922</v>
      </c>
      <c r="C100" s="3" t="n">
        <v>0.12166417436892</v>
      </c>
      <c r="D100" s="4">
        <f>C100-B100</f>
        <v/>
      </c>
      <c r="E100" s="4">
        <f>(C100-B100)/B100</f>
        <v/>
      </c>
      <c r="F100" s="9">
        <f>IF(D100&gt;0, "Outperformed", "Underperformed")</f>
        <v/>
      </c>
    </row>
    <row r="101">
      <c r="A101" s="6" t="inlineStr">
        <is>
          <t>CH-100</t>
        </is>
      </c>
      <c r="B101" s="7" t="n">
        <v>0.09330825733249706</v>
      </c>
      <c r="C101" s="7" t="n">
        <v>0.09764059404338754</v>
      </c>
      <c r="D101" s="8">
        <f>C101-B101</f>
        <v/>
      </c>
      <c r="E101" s="8">
        <f>(C101-B101)/B101</f>
        <v/>
      </c>
      <c r="F101" s="9">
        <f>IF(D101&gt;0, "Outperformed", "Underperformed")</f>
        <v/>
      </c>
    </row>
    <row r="102">
      <c r="A102" s="10" t="inlineStr">
        <is>
          <t>AVERAGE / OVERALL</t>
        </is>
      </c>
      <c r="B102" s="11">
        <f>AVERAGE(B2:B101)</f>
        <v/>
      </c>
      <c r="C102" s="11">
        <f>AVERAGE(C2:C101)</f>
        <v/>
      </c>
      <c r="D102" s="12">
        <f>C102-B102</f>
        <v/>
      </c>
      <c r="E102" s="12">
        <f>(C102-B102)/B102</f>
        <v/>
      </c>
      <c r="F102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35" customWidth="1" min="3" max="3"/>
    <col width="61" customWidth="1" min="4" max="4"/>
  </cols>
  <sheetData>
    <row r="1">
      <c r="A1" s="13" t="inlineStr">
        <is>
          <t>DATA DICTIONARY &amp; METRIC DEFINITIONS</t>
        </is>
      </c>
    </row>
    <row r="2"/>
    <row r="3">
      <c r="A3" s="14" t="inlineStr">
        <is>
          <t>Column Name</t>
        </is>
      </c>
      <c r="B3" s="14" t="inlineStr">
        <is>
          <t>Data Type</t>
        </is>
      </c>
      <c r="C3" s="14" t="inlineStr">
        <is>
          <t>Source / Formula</t>
        </is>
      </c>
      <c r="D3" s="14" t="inlineStr">
        <is>
          <t>Description</t>
        </is>
      </c>
    </row>
    <row r="4">
      <c r="A4" s="15" t="inlineStr">
        <is>
          <t>Cohort ID</t>
        </is>
      </c>
      <c r="B4" s="15" t="inlineStr">
        <is>
          <t>String</t>
        </is>
      </c>
      <c r="C4" s="16" t="inlineStr">
        <is>
          <t>Generated Identifier</t>
        </is>
      </c>
      <c r="D4" s="16" t="inlineStr">
        <is>
          <t>Unique batch identifier for 100 sample user cohorts.</t>
        </is>
      </c>
    </row>
    <row r="5">
      <c r="A5" s="15" t="inlineStr">
        <is>
          <t>Control Conversion (Group A)</t>
        </is>
      </c>
      <c r="B5" s="15" t="inlineStr">
        <is>
          <t>Percentage</t>
        </is>
      </c>
      <c r="C5" s="16" t="inlineStr">
        <is>
          <t>A/B Test Tracking</t>
        </is>
      </c>
      <c r="D5" s="16" t="inlineStr">
        <is>
          <t>Baseline layout conversion rate per cohort (Mean ~9.80%).</t>
        </is>
      </c>
    </row>
    <row r="6">
      <c r="A6" s="15" t="inlineStr">
        <is>
          <t>Variant Conversion (Group B)</t>
        </is>
      </c>
      <c r="B6" s="15" t="inlineStr">
        <is>
          <t>Percentage</t>
        </is>
      </c>
      <c r="C6" s="16" t="inlineStr">
        <is>
          <t>A/B Test Tracking</t>
        </is>
      </c>
      <c r="D6" s="16" t="inlineStr">
        <is>
          <t>New layout conversion rate per cohort (Mean ~12.05%).</t>
        </is>
      </c>
    </row>
    <row r="7">
      <c r="A7" s="15" t="inlineStr">
        <is>
          <t>Absolute Gain (% pts)</t>
        </is>
      </c>
      <c r="B7" s="15" t="inlineStr">
        <is>
          <t>Percentage</t>
        </is>
      </c>
      <c r="C7" s="16">
        <f> Group B - Group A</f>
        <v/>
      </c>
      <c r="D7" s="16" t="inlineStr">
        <is>
          <t>Absolute percentage point change in conversion rate.</t>
        </is>
      </c>
    </row>
    <row r="8">
      <c r="A8" s="15" t="inlineStr">
        <is>
          <t>Relative Lift (%)</t>
        </is>
      </c>
      <c r="B8" s="15" t="inlineStr">
        <is>
          <t>Percentage</t>
        </is>
      </c>
      <c r="C8" s="16">
        <f> (Group B - Group A) / Group A</f>
        <v/>
      </c>
      <c r="D8" s="16" t="inlineStr">
        <is>
          <t>Relative percentage lift in conversion rate.</t>
        </is>
      </c>
    </row>
    <row r="9">
      <c r="A9" s="15" t="inlineStr">
        <is>
          <t>Variant Status</t>
        </is>
      </c>
      <c r="B9" s="15" t="inlineStr">
        <is>
          <t>Categorical</t>
        </is>
      </c>
      <c r="C9" s="16" t="inlineStr">
        <is>
          <t>IF(Absolute Gain &gt; 0, ...)</t>
        </is>
      </c>
      <c r="D9" s="16" t="inlineStr">
        <is>
          <t>Outperformed vs. Underperformed benchmark flag.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2026-08-21T15:27:35Z</dcterms:created>
  <dcterms:modified xmlns:dcterms="http://purl.org/dc/terms/" xmlns:xsi="http://www.w3.org/2001/XMLSchema-instance" xsi:type="dcterms:W3CDTF">2026-08-21T15:27:35Z</dcterms:modified>
</cp:coreProperties>
</file>